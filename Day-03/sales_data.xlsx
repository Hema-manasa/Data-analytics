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am\Downloads\"/>
    </mc:Choice>
  </mc:AlternateContent>
  <xr:revisionPtr revIDLastSave="0" documentId="8_{36A34F1A-B63F-465B-898B-4388F6A3FD23}" xr6:coauthVersionLast="47" xr6:coauthVersionMax="47" xr10:uidLastSave="{00000000-0000-0000-0000-000000000000}"/>
  <bookViews>
    <workbookView xWindow="12257" yWindow="0" windowWidth="12514" windowHeight="14794" activeTab="1" xr2:uid="{16123EDC-0DE0-4991-B232-ECE8AA6DD740}"/>
  </bookViews>
  <sheets>
    <sheet name="Sheet1" sheetId="1" r:id="rId1"/>
    <sheet name="day 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2" l="1"/>
  <c r="E16" i="2"/>
  <c r="E15" i="2"/>
  <c r="E13" i="2"/>
  <c r="G11" i="2"/>
  <c r="D10" i="2"/>
  <c r="G10" i="2"/>
  <c r="G2" i="2"/>
  <c r="G3" i="2"/>
  <c r="G4" i="2"/>
  <c r="G5" i="2"/>
  <c r="G6" i="2"/>
  <c r="G7" i="2"/>
  <c r="G8" i="2"/>
  <c r="G9" i="2"/>
  <c r="K11" i="1"/>
  <c r="K10" i="1"/>
  <c r="K9" i="1"/>
  <c r="J9" i="1"/>
  <c r="J14" i="1"/>
  <c r="J13" i="1"/>
  <c r="J12" i="1"/>
  <c r="J11" i="1"/>
  <c r="J10" i="1"/>
  <c r="J8" i="1"/>
  <c r="J7" i="1"/>
  <c r="J5" i="1"/>
  <c r="J4" i="1"/>
  <c r="J3" i="1"/>
  <c r="D12" i="1"/>
  <c r="F2" i="1"/>
  <c r="F3" i="1"/>
  <c r="F4" i="1"/>
  <c r="F5" i="1"/>
  <c r="F6" i="1"/>
  <c r="F7" i="1"/>
  <c r="F8" i="1"/>
  <c r="F9" i="1"/>
  <c r="F10" i="1"/>
  <c r="F11" i="1"/>
  <c r="J2" i="1" l="1"/>
  <c r="F12" i="1"/>
</calcChain>
</file>

<file path=xl/sharedStrings.xml><?xml version="1.0" encoding="utf-8"?>
<sst xmlns="http://schemas.openxmlformats.org/spreadsheetml/2006/main" count="86" uniqueCount="32">
  <si>
    <t>Date</t>
  </si>
  <si>
    <t>Product</t>
  </si>
  <si>
    <t>T-Shirt</t>
  </si>
  <si>
    <t>Jeans</t>
  </si>
  <si>
    <t>Shoes</t>
  </si>
  <si>
    <t>Bag</t>
  </si>
  <si>
    <t>Category</t>
  </si>
  <si>
    <t>Clothing</t>
  </si>
  <si>
    <t>Footwear</t>
  </si>
  <si>
    <t>Accessories</t>
  </si>
  <si>
    <t>Quantity</t>
  </si>
  <si>
    <t>Price</t>
  </si>
  <si>
    <t>City</t>
  </si>
  <si>
    <t>Chennai</t>
  </si>
  <si>
    <t>Bangalore</t>
  </si>
  <si>
    <t>Coimbatore</t>
  </si>
  <si>
    <t>Revenue</t>
  </si>
  <si>
    <t>Analysis</t>
  </si>
  <si>
    <t>Result</t>
  </si>
  <si>
    <t>Total Revenue</t>
  </si>
  <si>
    <t>Average Quantity</t>
  </si>
  <si>
    <t>Highest Revenue</t>
  </si>
  <si>
    <t>Lowest Revenue</t>
  </si>
  <si>
    <t>Bangalore orders</t>
  </si>
  <si>
    <t>Tshirt orders</t>
  </si>
  <si>
    <t>Chennai Reveneue</t>
  </si>
  <si>
    <t>Bangalore Revenue</t>
  </si>
  <si>
    <t>Clothing Revenue</t>
  </si>
  <si>
    <t>Footwear Revenue</t>
  </si>
  <si>
    <t>Accessories Revenue</t>
  </si>
  <si>
    <t>Coimbatore Revenue</t>
  </si>
  <si>
    <t>Coimabtore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</si>
</sst>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164" formatCode="dd/mmm/yyyy"/>
    </dxf>
    <dxf>
      <numFmt numFmtId="0" formatCode="General"/>
    </dxf>
    <dxf>
      <numFmt numFmtId="164" formatCode="dd/mmm/yyyy"/>
    </dxf>
    <dxf>
      <numFmt numFmtId="0" formatCode="General"/>
    </dxf>
    <dxf>
      <numFmt numFmtId="0" formatCode="General"/>
    </dxf>
    <dxf>
      <numFmt numFmtId="164" formatCode="dd/mmm/yyyy"/>
    </dxf>
    <dxf>
      <numFmt numFmtId="164" formatCode="dd/m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C3E6B1-C822-4F8F-8D89-3FFF9D960718}" name="Table1" displayName="Table1" ref="A1:G12" totalsRowCount="1">
  <autoFilter ref="A1:G11" xr:uid="{24C3E6B1-C822-4F8F-8D89-3FFF9D960718}"/>
  <sortState xmlns:xlrd2="http://schemas.microsoft.com/office/spreadsheetml/2017/richdata2" ref="A2:G11">
    <sortCondition descending="1" ref="E1:E11"/>
  </sortState>
  <tableColumns count="7">
    <tableColumn id="1" xr3:uid="{C1EA4A24-1256-401C-A12E-63A049B3B755}" name="Date" dataDxfId="7" totalsRowDxfId="6"/>
    <tableColumn id="2" xr3:uid="{0A883C36-A7EF-4D1C-9801-65F0C9B6BEEC}" name="Product"/>
    <tableColumn id="3" xr3:uid="{FBAAA37A-1EFB-46DA-9C6E-A3695D7C14F0}" name="Category"/>
    <tableColumn id="4" xr3:uid="{FD25172A-FD37-41DA-9998-9DC6923CCAFE}" name="Quantity" totalsRowFunction="custom">
      <totalsRowFormula>SUM(D2:D11)</totalsRowFormula>
    </tableColumn>
    <tableColumn id="5" xr3:uid="{611FBE7A-3FCA-414E-9CA8-C1F539776814}" name="Price"/>
    <tableColumn id="7" xr3:uid="{BF7F05D5-E784-4CE2-B4CE-C8FCE09A9EE1}" name="Revenue" totalsRowFunction="custom" dataDxfId="5" totalsRowDxfId="4">
      <calculatedColumnFormula>D2*E2</calculatedColumnFormula>
      <totalsRowFormula>SUM(F2:F11)</totalsRowFormula>
    </tableColumn>
    <tableColumn id="6" xr3:uid="{533D0C29-6370-4FEC-95EA-DC972B5BF2F4}" name="C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DD96E2-601D-4519-9819-EC980FCE2E64}" name="Table2" displayName="Table2" ref="A1:G10" totalsRowCount="1">
  <autoFilter ref="A1:G9" xr:uid="{B0DD96E2-601D-4519-9819-EC980FCE2E64}"/>
  <tableColumns count="7">
    <tableColumn id="1" xr3:uid="{BCF41036-B9C6-4C39-B0EF-EF3BA5CEE66D}" name="Date" dataDxfId="3" totalsRowDxfId="1"/>
    <tableColumn id="2" xr3:uid="{BED7A86D-8B4E-4FD6-937E-2B404DA52EA6}" name="Product"/>
    <tableColumn id="3" xr3:uid="{270C0724-9127-44FA-AE7B-856AE87C9FAF}" name="Category"/>
    <tableColumn id="4" xr3:uid="{A58255FD-ADDA-4DD4-8838-717B64AB07B8}" name="Quantity" totalsRowFunction="custom">
      <totalsRowFormula>SUM(D2:D9)</totalsRowFormula>
    </tableColumn>
    <tableColumn id="5" xr3:uid="{3D7E8AE2-6C17-4EFD-A769-5333FFD524AE}" name="Price"/>
    <tableColumn id="6" xr3:uid="{53F81BB1-AC56-4928-AE5B-CEF49EE874E2}" name="City"/>
    <tableColumn id="7" xr3:uid="{679D0909-F486-47D4-9C7E-917FA9746936}" name="Revenue" totalsRowFunction="custom" dataDxfId="2" totalsRowDxfId="0">
      <calculatedColumnFormula>E2*D2</calculatedColumnFormula>
      <totalsRowFormula>SUM(G2:G9)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E1669-B4AF-4CF6-B898-B0F14CE19589}">
  <dimension ref="A1:K14"/>
  <sheetViews>
    <sheetView zoomScale="97" workbookViewId="0">
      <selection activeCell="K12" sqref="K12"/>
    </sheetView>
  </sheetViews>
  <sheetFormatPr defaultRowHeight="14.6" x14ac:dyDescent="0.4"/>
  <cols>
    <col min="1" max="1" width="15.23046875" customWidth="1"/>
    <col min="3" max="3" width="10.23046875" bestFit="1" customWidth="1"/>
    <col min="4" max="4" width="10" customWidth="1"/>
    <col min="5" max="6" width="10.53515625" customWidth="1"/>
    <col min="7" max="7" width="10.69140625" customWidth="1"/>
    <col min="9" max="9" width="22" customWidth="1"/>
    <col min="10" max="10" width="29.921875" customWidth="1"/>
    <col min="11" max="11" width="30.921875" customWidth="1"/>
  </cols>
  <sheetData>
    <row r="1" spans="1:11" x14ac:dyDescent="0.4">
      <c r="A1" s="1" t="s">
        <v>0</v>
      </c>
      <c r="B1" t="s">
        <v>1</v>
      </c>
      <c r="C1" t="s">
        <v>6</v>
      </c>
      <c r="D1" t="s">
        <v>10</v>
      </c>
      <c r="E1" t="s">
        <v>11</v>
      </c>
      <c r="F1" t="s">
        <v>16</v>
      </c>
      <c r="G1" t="s">
        <v>12</v>
      </c>
      <c r="I1" t="s">
        <v>17</v>
      </c>
      <c r="J1" t="s">
        <v>18</v>
      </c>
    </row>
    <row r="2" spans="1:11" x14ac:dyDescent="0.4">
      <c r="A2" s="1">
        <v>46267</v>
      </c>
      <c r="B2" t="s">
        <v>4</v>
      </c>
      <c r="C2" t="s">
        <v>8</v>
      </c>
      <c r="D2">
        <v>2</v>
      </c>
      <c r="E2">
        <v>1500</v>
      </c>
      <c r="F2">
        <f t="shared" ref="F2:F11" si="0">D2*E2</f>
        <v>3000</v>
      </c>
      <c r="G2" t="s">
        <v>13</v>
      </c>
      <c r="I2" t="s">
        <v>19</v>
      </c>
      <c r="J2">
        <f>SUM(F2:F11)</f>
        <v>19500</v>
      </c>
    </row>
    <row r="3" spans="1:11" x14ac:dyDescent="0.4">
      <c r="A3" s="1">
        <v>46268</v>
      </c>
      <c r="B3" t="s">
        <v>4</v>
      </c>
      <c r="C3" t="s">
        <v>8</v>
      </c>
      <c r="D3">
        <v>1</v>
      </c>
      <c r="E3">
        <v>1500</v>
      </c>
      <c r="F3">
        <f t="shared" si="0"/>
        <v>1500</v>
      </c>
      <c r="G3" t="s">
        <v>14</v>
      </c>
      <c r="I3" t="s">
        <v>20</v>
      </c>
      <c r="J3">
        <f>AVERAGE(D2:D11)</f>
        <v>2.1</v>
      </c>
    </row>
    <row r="4" spans="1:11" x14ac:dyDescent="0.4">
      <c r="A4" s="1">
        <v>46270</v>
      </c>
      <c r="B4" t="s">
        <v>4</v>
      </c>
      <c r="C4" t="s">
        <v>8</v>
      </c>
      <c r="D4">
        <v>3</v>
      </c>
      <c r="E4">
        <v>1500</v>
      </c>
      <c r="F4">
        <f t="shared" si="0"/>
        <v>4500</v>
      </c>
      <c r="G4" t="s">
        <v>13</v>
      </c>
      <c r="I4" t="s">
        <v>21</v>
      </c>
      <c r="J4">
        <f>MAX(F2:F11)</f>
        <v>4500</v>
      </c>
    </row>
    <row r="5" spans="1:11" x14ac:dyDescent="0.4">
      <c r="A5" s="1">
        <v>46266</v>
      </c>
      <c r="B5" t="s">
        <v>3</v>
      </c>
      <c r="C5" t="s">
        <v>7</v>
      </c>
      <c r="D5">
        <v>1</v>
      </c>
      <c r="E5">
        <v>1200</v>
      </c>
      <c r="F5">
        <f t="shared" si="0"/>
        <v>1200</v>
      </c>
      <c r="G5" t="s">
        <v>14</v>
      </c>
      <c r="I5" t="s">
        <v>22</v>
      </c>
      <c r="J5">
        <f>MIN(F2:F11)</f>
        <v>800</v>
      </c>
    </row>
    <row r="6" spans="1:11" x14ac:dyDescent="0.4">
      <c r="A6" s="1">
        <v>46268</v>
      </c>
      <c r="B6" t="s">
        <v>3</v>
      </c>
      <c r="C6" t="s">
        <v>7</v>
      </c>
      <c r="D6">
        <v>2</v>
      </c>
      <c r="E6">
        <v>1200</v>
      </c>
      <c r="F6">
        <f t="shared" si="0"/>
        <v>2400</v>
      </c>
      <c r="G6" t="s">
        <v>13</v>
      </c>
    </row>
    <row r="7" spans="1:11" x14ac:dyDescent="0.4">
      <c r="A7" s="1">
        <v>46268</v>
      </c>
      <c r="B7" t="s">
        <v>5</v>
      </c>
      <c r="C7" t="s">
        <v>9</v>
      </c>
      <c r="D7">
        <v>2</v>
      </c>
      <c r="E7">
        <v>800</v>
      </c>
      <c r="F7">
        <f t="shared" si="0"/>
        <v>1600</v>
      </c>
      <c r="G7" t="s">
        <v>13</v>
      </c>
      <c r="I7" t="s">
        <v>23</v>
      </c>
      <c r="J7">
        <f>COUNTIF(G2:G11,"Bangalore")</f>
        <v>3</v>
      </c>
    </row>
    <row r="8" spans="1:11" x14ac:dyDescent="0.4">
      <c r="A8" s="1">
        <v>46269</v>
      </c>
      <c r="B8" t="s">
        <v>5</v>
      </c>
      <c r="C8" t="s">
        <v>9</v>
      </c>
      <c r="D8">
        <v>1</v>
      </c>
      <c r="E8">
        <v>800</v>
      </c>
      <c r="F8">
        <f t="shared" si="0"/>
        <v>800</v>
      </c>
      <c r="G8" t="s">
        <v>15</v>
      </c>
      <c r="I8" t="s">
        <v>24</v>
      </c>
      <c r="J8">
        <f>COUNTIF(B2:B11,"T-Shirt")</f>
        <v>3</v>
      </c>
    </row>
    <row r="9" spans="1:11" x14ac:dyDescent="0.4">
      <c r="A9" s="1">
        <v>46266</v>
      </c>
      <c r="B9" t="s">
        <v>2</v>
      </c>
      <c r="C9" t="s">
        <v>7</v>
      </c>
      <c r="D9">
        <v>2</v>
      </c>
      <c r="E9">
        <v>500</v>
      </c>
      <c r="F9">
        <f t="shared" si="0"/>
        <v>1000</v>
      </c>
      <c r="G9" t="s">
        <v>13</v>
      </c>
      <c r="I9" t="s">
        <v>30</v>
      </c>
      <c r="J9">
        <f>SUMIF(G2:G11,"Coimbatore",F2:F11)</f>
        <v>2300</v>
      </c>
      <c r="K9" t="str">
        <f>IF(J9&gt;=5000,"HIGH","LOW")</f>
        <v>LOW</v>
      </c>
    </row>
    <row r="10" spans="1:11" x14ac:dyDescent="0.4">
      <c r="A10" s="1">
        <v>46267</v>
      </c>
      <c r="B10" t="s">
        <v>2</v>
      </c>
      <c r="C10" t="s">
        <v>7</v>
      </c>
      <c r="D10">
        <v>3</v>
      </c>
      <c r="E10">
        <v>500</v>
      </c>
      <c r="F10">
        <f t="shared" si="0"/>
        <v>1500</v>
      </c>
      <c r="G10" t="s">
        <v>15</v>
      </c>
      <c r="I10" t="s">
        <v>25</v>
      </c>
      <c r="J10">
        <f>SUMIF(G2:G11,"Chennai",F2:F11)</f>
        <v>12500</v>
      </c>
      <c r="K10" t="str">
        <f>IF(J10&gt;=5000,"HIGH","LOW")</f>
        <v>HIGH</v>
      </c>
    </row>
    <row r="11" spans="1:11" x14ac:dyDescent="0.4">
      <c r="A11" s="1">
        <v>46269</v>
      </c>
      <c r="B11" t="s">
        <v>2</v>
      </c>
      <c r="C11" t="s">
        <v>7</v>
      </c>
      <c r="D11">
        <v>4</v>
      </c>
      <c r="E11">
        <v>500</v>
      </c>
      <c r="F11">
        <f t="shared" si="0"/>
        <v>2000</v>
      </c>
      <c r="G11" t="s">
        <v>14</v>
      </c>
      <c r="I11" t="s">
        <v>26</v>
      </c>
      <c r="J11">
        <f>SUMIF(G2:G11,"Bangalore",F2:F11)</f>
        <v>4700</v>
      </c>
      <c r="K11" t="str">
        <f>IF(J11&gt;=5000,"HIGH","LOW")</f>
        <v>LOW</v>
      </c>
    </row>
    <row r="12" spans="1:11" x14ac:dyDescent="0.4">
      <c r="A12" s="1"/>
      <c r="D12">
        <f>SUM(D2:D11)</f>
        <v>21</v>
      </c>
      <c r="F12">
        <f>SUM(F2:F11)</f>
        <v>19500</v>
      </c>
      <c r="I12" t="s">
        <v>27</v>
      </c>
      <c r="J12">
        <f>SUMIF(C2:C11,"Clothing",F2:F11)</f>
        <v>8100</v>
      </c>
    </row>
    <row r="13" spans="1:11" x14ac:dyDescent="0.4">
      <c r="I13" t="s">
        <v>28</v>
      </c>
      <c r="J13">
        <f>SUMIF(C2:C11,"Footwear",F2:F11)</f>
        <v>9000</v>
      </c>
    </row>
    <row r="14" spans="1:11" x14ac:dyDescent="0.4">
      <c r="I14" t="s">
        <v>29</v>
      </c>
      <c r="J14">
        <f>SUMIF(C2:C11,"Accessories",F2:F11)</f>
        <v>2400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7332D-276C-4B44-AEE7-D2A6FCF56629}">
  <dimension ref="A1:G16"/>
  <sheetViews>
    <sheetView tabSelected="1" workbookViewId="0">
      <selection activeCell="E15" sqref="E15"/>
    </sheetView>
  </sheetViews>
  <sheetFormatPr defaultRowHeight="14.6" x14ac:dyDescent="0.4"/>
  <cols>
    <col min="1" max="1" width="15.15234375" customWidth="1"/>
    <col min="2" max="2" width="13.15234375" customWidth="1"/>
    <col min="3" max="3" width="15.53515625" customWidth="1"/>
    <col min="4" max="4" width="10" customWidth="1"/>
    <col min="6" max="6" width="10.53515625" bestFit="1" customWidth="1"/>
    <col min="7" max="7" width="18.4609375" customWidth="1"/>
  </cols>
  <sheetData>
    <row r="1" spans="1:7" x14ac:dyDescent="0.4">
      <c r="A1" t="s">
        <v>0</v>
      </c>
      <c r="B1" t="s">
        <v>1</v>
      </c>
      <c r="C1" t="s">
        <v>6</v>
      </c>
      <c r="D1" t="s">
        <v>10</v>
      </c>
      <c r="E1" t="s">
        <v>11</v>
      </c>
      <c r="F1" t="s">
        <v>12</v>
      </c>
      <c r="G1" t="s">
        <v>16</v>
      </c>
    </row>
    <row r="2" spans="1:7" x14ac:dyDescent="0.4">
      <c r="A2" s="1">
        <v>46266</v>
      </c>
      <c r="B2" t="s">
        <v>2</v>
      </c>
      <c r="C2" t="s">
        <v>7</v>
      </c>
      <c r="D2">
        <v>2</v>
      </c>
      <c r="E2">
        <v>500</v>
      </c>
      <c r="F2" t="s">
        <v>13</v>
      </c>
      <c r="G2">
        <f t="shared" ref="G2:G9" si="0">E2*D2</f>
        <v>1000</v>
      </c>
    </row>
    <row r="3" spans="1:7" x14ac:dyDescent="0.4">
      <c r="A3" s="1">
        <v>46266</v>
      </c>
      <c r="B3" t="s">
        <v>2</v>
      </c>
      <c r="C3" t="s">
        <v>7</v>
      </c>
      <c r="D3">
        <v>3</v>
      </c>
      <c r="E3">
        <v>500</v>
      </c>
      <c r="F3" t="s">
        <v>13</v>
      </c>
      <c r="G3">
        <f t="shared" si="0"/>
        <v>1500</v>
      </c>
    </row>
    <row r="4" spans="1:7" x14ac:dyDescent="0.4">
      <c r="A4" s="1">
        <v>46267</v>
      </c>
      <c r="B4" t="s">
        <v>4</v>
      </c>
      <c r="C4" t="s">
        <v>8</v>
      </c>
      <c r="D4">
        <v>2</v>
      </c>
      <c r="E4">
        <v>1500</v>
      </c>
      <c r="F4" t="s">
        <v>13</v>
      </c>
      <c r="G4">
        <f t="shared" si="0"/>
        <v>3000</v>
      </c>
    </row>
    <row r="5" spans="1:7" x14ac:dyDescent="0.4">
      <c r="A5" s="1">
        <v>46267</v>
      </c>
      <c r="B5" t="s">
        <v>4</v>
      </c>
      <c r="C5" t="s">
        <v>8</v>
      </c>
      <c r="D5">
        <v>1</v>
      </c>
      <c r="E5">
        <v>1500</v>
      </c>
      <c r="F5" t="s">
        <v>13</v>
      </c>
      <c r="G5">
        <f t="shared" si="0"/>
        <v>1500</v>
      </c>
    </row>
    <row r="6" spans="1:7" x14ac:dyDescent="0.4">
      <c r="A6" s="1">
        <v>46268</v>
      </c>
      <c r="B6" t="s">
        <v>2</v>
      </c>
      <c r="C6" t="s">
        <v>7</v>
      </c>
      <c r="D6">
        <v>2</v>
      </c>
      <c r="E6">
        <v>500</v>
      </c>
      <c r="F6" t="s">
        <v>13</v>
      </c>
      <c r="G6">
        <f t="shared" si="0"/>
        <v>1000</v>
      </c>
    </row>
    <row r="7" spans="1:7" x14ac:dyDescent="0.4">
      <c r="A7" s="1">
        <v>46268</v>
      </c>
      <c r="B7" t="s">
        <v>5</v>
      </c>
      <c r="C7" t="s">
        <v>9</v>
      </c>
      <c r="D7">
        <v>2</v>
      </c>
      <c r="E7">
        <v>800</v>
      </c>
      <c r="F7" t="s">
        <v>31</v>
      </c>
      <c r="G7">
        <f t="shared" si="0"/>
        <v>1600</v>
      </c>
    </row>
    <row r="8" spans="1:7" x14ac:dyDescent="0.4">
      <c r="A8" s="1">
        <v>46269</v>
      </c>
      <c r="B8" t="s">
        <v>3</v>
      </c>
      <c r="C8" t="s">
        <v>7</v>
      </c>
      <c r="D8">
        <v>2</v>
      </c>
      <c r="E8">
        <v>1200</v>
      </c>
      <c r="F8" t="s">
        <v>14</v>
      </c>
      <c r="G8">
        <f t="shared" si="0"/>
        <v>2400</v>
      </c>
    </row>
    <row r="9" spans="1:7" x14ac:dyDescent="0.4">
      <c r="A9" s="1">
        <v>46270</v>
      </c>
      <c r="B9" t="s">
        <v>4</v>
      </c>
      <c r="C9" t="s">
        <v>8</v>
      </c>
      <c r="D9">
        <v>3</v>
      </c>
      <c r="E9">
        <v>1500</v>
      </c>
      <c r="F9" t="s">
        <v>14</v>
      </c>
      <c r="G9">
        <f t="shared" si="0"/>
        <v>4500</v>
      </c>
    </row>
    <row r="10" spans="1:7" x14ac:dyDescent="0.4">
      <c r="A10" s="1"/>
      <c r="D10">
        <f>SUM(D2:D9)</f>
        <v>17</v>
      </c>
      <c r="G10" s="2">
        <f>SUM(G2:G9)</f>
        <v>16500</v>
      </c>
    </row>
    <row r="11" spans="1:7" x14ac:dyDescent="0.4">
      <c r="G11">
        <f>MAX(G2:G9)</f>
        <v>4500</v>
      </c>
    </row>
    <row r="13" spans="1:7" x14ac:dyDescent="0.4">
      <c r="D13" t="s">
        <v>2</v>
      </c>
      <c r="E13">
        <f>SUMIF(B2:B9,"T-Shirt",G2:G9)</f>
        <v>3500</v>
      </c>
    </row>
    <row r="14" spans="1:7" x14ac:dyDescent="0.4">
      <c r="D14" t="s">
        <v>4</v>
      </c>
      <c r="E14">
        <f>SUMIF(B2:B9,"Shoes",G2:G9)</f>
        <v>9000</v>
      </c>
    </row>
    <row r="15" spans="1:7" x14ac:dyDescent="0.4">
      <c r="D15" t="s">
        <v>5</v>
      </c>
      <c r="E15">
        <f>SUMIF(B2:B9,"Bag",G2:G9)</f>
        <v>1600</v>
      </c>
    </row>
    <row r="16" spans="1:7" x14ac:dyDescent="0.4">
      <c r="D16" t="s">
        <v>3</v>
      </c>
      <c r="E16">
        <f>SUMIF(B2:B9,"Jeans",G2:G9)</f>
        <v>2400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day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N</dc:creator>
  <cp:lastModifiedBy>Adithya N</cp:lastModifiedBy>
  <dcterms:created xsi:type="dcterms:W3CDTF">2026-09-15T05:42:31Z</dcterms:created>
  <dcterms:modified xsi:type="dcterms:W3CDTF">2026-09-17T07:00:00Z</dcterms:modified>
</cp:coreProperties>
</file>